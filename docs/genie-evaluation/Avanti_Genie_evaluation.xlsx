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d.docs.live.net/0d44ed6bc9ff19ff/NFT - Internship/Avanti/Proposed Solution/Azure Databricks/avanti-command-centre/docs/genie-evaluation/"/>
    </mc:Choice>
  </mc:AlternateContent>
  <xr:revisionPtr revIDLastSave="48" documentId="11_2590E4722B3D3E71C4409ABE8070AF38911AFF1D" xr6:coauthVersionLast="47" xr6:coauthVersionMax="47" xr10:uidLastSave="{7591D3B2-98E4-734D-82ED-1CCFDD9A26D0}"/>
  <bookViews>
    <workbookView xWindow="34200" yWindow="600" windowWidth="38400" windowHeight="21000" tabRatio="500" xr2:uid="{00000000-000D-0000-FFFF-FFFF00000000}"/>
  </bookViews>
  <sheets>
    <sheet name="Summary" sheetId="1" r:id="rId1"/>
    <sheet name="After curation" sheetId="3" r:id="rId2"/>
    <sheet name="Findings" sheetId="4" r:id="rId3"/>
    <sheet name="Quality levers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  <c r="B21" i="1"/>
</calcChain>
</file>

<file path=xl/sharedStrings.xml><?xml version="1.0" encoding="utf-8"?>
<sst xmlns="http://schemas.openxmlformats.org/spreadsheetml/2006/main" count="112" uniqueCount="108">
  <si>
    <t>Genie evaluation — Avanti Command Centre</t>
  </si>
  <si>
    <t>Is Databricks Genie accurate enough to serve the natural-language layer of the app, or is a custom tool-calling implementation needed? Yellow cells are to be completed.</t>
  </si>
  <si>
    <t>SETUP</t>
  </si>
  <si>
    <t>Genie space</t>
  </si>
  <si>
    <t>Healthcare Clinic Performance</t>
  </si>
  <si>
    <t>Curated space, not ad-hoc Genie chat. The space is what constrains it to chosen tables and carries the instructions.</t>
  </si>
  <si>
    <t>Tables exposed</t>
  </si>
  <si>
    <t>avanti_dev.gold marts only</t>
  </si>
  <si>
    <t>mart_clinic_monthly, mart_practitioner_monthly, mart_service_monthly, mart_patient_summary. Bronze and Silver deliberately excluded.</t>
  </si>
  <si>
    <t>SQL warehouse</t>
  </si>
  <si>
    <t>Serverless Starter (Small)</t>
  </si>
  <si>
    <t>Questions</t>
  </si>
  <si>
    <t>Phrased as a clinic director would ask</t>
  </si>
  <si>
    <t>Not phrased as SQL. The point is to test the translation, not the schema knowledge.</t>
  </si>
  <si>
    <t>Conversations</t>
  </si>
  <si>
    <t>One fresh conversation per question</t>
  </si>
  <si>
    <t>Context silently narrows scope — see Finding 1. Testing in one thread measures the conversation, not the capability.</t>
  </si>
  <si>
    <t>Scored on</t>
  </si>
  <si>
    <t>The generated SQL, not the prose</t>
  </si>
  <si>
    <t>The SQL is evidence. The summary is an interpretation and has been wrong while the numbers were right.</t>
  </si>
  <si>
    <t>SCORING</t>
  </si>
  <si>
    <t>2</t>
  </si>
  <si>
    <t>Correct figures AND correct interpretation</t>
  </si>
  <si>
    <t>1</t>
  </si>
  <si>
    <t>Right approach, but wrong scope, wrong grain, or needed a follow-up</t>
  </si>
  <si>
    <t>0</t>
  </si>
  <si>
    <t>Wrong, or refused to answer</t>
  </si>
  <si>
    <t>RESULT</t>
  </si>
  <si>
    <t>Baseline</t>
  </si>
  <si>
    <t>After curation</t>
  </si>
  <si>
    <t>Notes</t>
  </si>
  <si>
    <t>Total score</t>
  </si>
  <si>
    <t>Sum of the per-question scores on the detail tabs.</t>
  </si>
  <si>
    <t>Out of</t>
  </si>
  <si>
    <t>Two points per question answered.</t>
  </si>
  <si>
    <t>Percentage</t>
  </si>
  <si>
    <t>CAVEAT — the data is synthetic. Clinics are assigned round-robin by the generator, so genuine outliers are unlikely and apparent differences are largely artefacts of interacting modulo cycles. Any business 'insight' here is a rendering test, not a finding. Five questions is enough to make a build-or-wrap decision; not enough to claim an accuracy figure.</t>
  </si>
  <si>
    <t>#</t>
  </si>
  <si>
    <t>Question (as asked)</t>
  </si>
  <si>
    <t>Score</t>
  </si>
  <si>
    <t>Generated SQL</t>
  </si>
  <si>
    <t>After curation — instructions and sample queries added</t>
  </si>
  <si>
    <t>Same questions, same scoring, fresh conversations. The only variable is the space configuration.</t>
  </si>
  <si>
    <t>Before</t>
  </si>
  <si>
    <t>After</t>
  </si>
  <si>
    <t>What changed</t>
  </si>
  <si>
    <t>Findings</t>
  </si>
  <si>
    <t>What the evaluation surfaced. Failures and successes both — the successes matter because they show where the ceiling is.</t>
  </si>
  <si>
    <t>Finding</t>
  </si>
  <si>
    <t>What happened</t>
  </si>
  <si>
    <t>Why it matters</t>
  </si>
  <si>
    <t>Fix</t>
  </si>
  <si>
    <t>Conversation context silently narrows scope</t>
  </si>
  <si>
    <t>A manager asking three questions may have the third answered under constraints from the first, with no indication. For a client-facing tool that is a correctness problem, not a usability one.</t>
  </si>
  <si>
    <t>Grain ambiguity produced a confidently wrong answer</t>
  </si>
  <si>
    <t>RANK() OVER (ORDER BY margin ASC) applied to clinic-MONTH rows, then WHERE rnk = 1. October 2026 rows are future bookings with no completed appointments, so margin is exactly 0.0 for all six clinics. RANK tied them at 1. Answer: 'all clinics are equally unprofitable'.</t>
  </si>
  <si>
    <t>The SQL was valid. The logic was defensible. The answer was nonsense. Grain ambiguity meeting a data artefact is the most common source of quietly-wrong answers, and neither half is a model failure.</t>
  </si>
  <si>
    <t>Instruction: exclude rows with appointments_completed = 0 from revenue, cost, margin and utilisation questions; aggregate across months with GROUP BY before ranking, never rank entity-month rows.</t>
  </si>
  <si>
    <t>Correct figures, incorrect narrative</t>
  </si>
  <si>
    <t>The strongest argument for the app rendering the table and the SQL rather than the summary alone. A reader who skims the prose takes away the wrong conclusion.</t>
  </si>
  <si>
    <t>None available at the model level. Mitigated in the app: the data table and a SQL expander always render alongside the prose.</t>
  </si>
  <si>
    <t>Sample values read as a complete set</t>
  </si>
  <si>
    <t>'Show me revenue by clinic by month' returned 96 rows. The prose listed three months per clinic — first, peak, last — prefaced with 'Examples include'. Alongside a clause about excluding months with no completions, it reads as though only those months have data.</t>
  </si>
  <si>
    <t>Same pattern as Finding 3: the numbers are right and the prose creates a false impression. Worse here because without a rendered table the prose is all the user sees.</t>
  </si>
  <si>
    <t>The app renders all 96 rows as a chart and a table.</t>
  </si>
  <si>
    <t>Analytical judgement that exceeded expectations</t>
  </si>
  <si>
    <t>Asked which month was least profitable: 'July 2025, January 2026 and September 2026 show lower absolute margin, but these reflect partial-month data, not lower profitability rates.' Asked which discipline was most profitable, it answered BOTH readings — highest absolute margin and highest margin rate.</t>
  </si>
  <si>
    <t>Recognising partial periods and surfacing an ambiguous term rather than silently choosing are both real analytical judgements. Notable given that silently choosing was the failure in Finding 1.</t>
  </si>
  <si>
    <t>None needed. Recorded because an evaluation that lists only failures misrepresents the tool.</t>
  </si>
  <si>
    <t>Definitional ambiguity, surfaced by the benchmark</t>
  </si>
  <si>
    <t>Ground truth ordered by margin_pct (lowest RATE). Genie ordered by total_margin (lowest AMOUNT). Both are defensible readings of 'least profitable' — a small efficient clinic has low absolute margin; a large inefficient one has high absolute margin.</t>
  </si>
  <si>
    <t>THE MOST VALUABLE FINDING. Neither was wrong — the question was. It only surfaced because writing ground-truth SQL forced the definition to be written down, which is exactly what a real engagement does with a CFO before any SQL is written. Hand-scoring answers would never have found it.</t>
  </si>
  <si>
    <t>Instruction defining the term: 'least profitable' means the lowest margin percentage, ranked by SUM(margin) / SUM(revenue).</t>
  </si>
  <si>
    <t>Hardcoded dates in generated SQL</t>
  </si>
  <si>
    <t>The model observed that October rows were empty and encoded THAT SPECIFIC FACT rather than the rule behind it. Same class of error as a hardcoded catalog name in a config file.</t>
  </si>
  <si>
    <t>Rejected the suggestion. Instruction: never hardcode dates; use relative conditions so queries stay correct as new data arrives.</t>
  </si>
  <si>
    <t>Instructions need scope, not just content</t>
  </si>
  <si>
    <t>'Exclude rows with appointments_completed = 0' began appearing on appointment-VOLUME questions — 'how much revenue did we lose to DNAs' — where it is wrong. A month can have DNAs and no completions, and excluding it understates the total.</t>
  </si>
  <si>
    <t>The instruction said 'exclude them', which the model reasonably took as global. An instruction must say WHEN it applies, not only what to do. The model can only respect a condition that was given.</t>
  </si>
  <si>
    <t>Rewritten with a condition: exclude from revenue, cost, margin and utilisation questions; do NOT exclude from appointment-volume questions.</t>
  </si>
  <si>
    <t>What actually drives answer quality</t>
  </si>
  <si>
    <t>In order of impact, as observed during this evaluation. Note that the model is last.</t>
  </si>
  <si>
    <t>Rank</t>
  </si>
  <si>
    <t>Lever</t>
  </si>
  <si>
    <t>The semantic layer (Gold marts)</t>
  </si>
  <si>
    <t>Genie answered profitability questions because margin and margin_pct were ALREADY COMPUTED in the marts, with the DNA billing rule applied. Pointed at Bronze it would have had to invent a fee schedule. Most of what made answers correct was work done in the pipeline months earlier.</t>
  </si>
  <si>
    <t>Table and column comments in Unity Catalog</t>
  </si>
  <si>
    <t>Read directly as schema context. Nothing substitutes for them. Tables in this project have comments; columns are patchier — the highest-value remaining improvement.</t>
  </si>
  <si>
    <t>Curated sample queries</t>
  </si>
  <si>
    <t>Heavily weighted. One correct example fixes a whole class of question, more reliably than a paragraph of prose instruction.</t>
  </si>
  <si>
    <t>Instructions</t>
  </si>
  <si>
    <t>Good for rules and conventions. Compete for attention when long — the space warns that long instructions limit how much it can learn from other context. Genie's own generated instructions were verbose; trimming them by about 40% lost nothing.</t>
  </si>
  <si>
    <t>Model choice</t>
  </si>
  <si>
    <t>Least significant of the five.</t>
  </si>
  <si>
    <t>Tell me the least profitable clinic in terms of margin</t>
  </si>
  <si>
    <t>Tell me the least profitable month in terms of margin.</t>
  </si>
  <si>
    <t>Give me the list of the least utilized practitioners.</t>
  </si>
  <si>
    <t>What is the overall revenue lost because of DNA (appointments not attended)? Don't show clinic-wise or month-wise data.</t>
  </si>
  <si>
    <t>SELECT
  `clinic_name`,
  `state`,
  SUM(`revenue`) AS total_revenue,
  SUM(`direct_cost`) AS total_direct_cost,
  SUM(`margin`) AS total_margin,
  ROUND(SUM(`margin`) / NULLIF(SUM(`revenue`), 0) * 100, 2) AS margin_pct,
  SUM(`appointments_completed`) AS total_appointments_completed,
  COUNT(DISTINCT `month_start`) AS months_active
FROM
  `avanti_dev`.`gold`.`mart_clinic_monthly`
WHERE
  `appointments_completed` &gt; 0
GROUP BY
  `clinic_name`,
  `state`
ORDER BY
  margin_pct ASC</t>
  </si>
  <si>
    <t>SELECT
  `month_start`,
  `month_label`,
  SUM(`revenue`) AS total_revenue,
  SUM(`direct_cost`) AS total_direct_cost,
  SUM(`margin`) AS total_margin,
  CASE
    WHEN SUM(`revenue`) = 0 THEN NULL
    ELSE ROUND(SUM(`margin`) / NULLIF(SUM(`revenue`), 0) * 100
  END AS margin_pct,
  SUM(`appointments_completed`) AS appointments_completed
FROM
  `avanti_dev`.`gold`.`mart_clinic_monthly`
WHERE
  `appointments_completed` &gt; 0
GROUP BY
  `month_start`,
  `month_label`
ORDER BY
  `month_start` ASC</t>
  </si>
  <si>
    <t>SELECT
  `practitioner_name`,
  `discipline`,
  ROUND(AVG(`utilisation_pct`) * 100, 1) AS avg_utilisation_pct,
  SUM(`delivered_hours`) AS total_delivered_hours,
  SUM(`available_hours`) AS total_available_hours,
  SUM(`appointments_completed`) AS total_appointments_completed,
  ROUND(SUM(`revenue`), 0) AS total_revenue
FROM
  avanti_dev.gold.`mart_practitioner_monthly`
WHERE
  `practitioner_name` IS NOT NULL
  AND `practitioner_name` NOT IN ('unknown', 'Unknown', 'N/A', 'Other')
  AND `available_hours` &gt; 0
GROUP BY
  `practitioner_name`,
  `discipline`
ORDER BY
  avg_utilisation_pct ASC
LIMIT 20</t>
  </si>
  <si>
    <t>SELECT
  SUM(`revenue_lost_to_dna`) AS total_revenue_lost_to_dna,
  SUM(`appointments_dna`) AS total_dna_appointments,
  SUM(`appointments_total`) AS total_appointments,
  ROUND(SUM(`appointments_dna`) / NULLIF(SUM(`appointments_total`), 0) * 100, 2) AS overall_dna_rate
FROM
  `avanti_dev`.`gold`.`mart_clinic_monthly`</t>
  </si>
  <si>
    <t>The ground-truth query that was updated has no record since that was not copied first</t>
  </si>
  <si>
    <t>No Change</t>
  </si>
  <si>
    <t>Asked 'give me the least profitable clinic'. Generated SQL contained WHERE month_start = '2026-08-01'. Nothing in the question mentioned August — the scope was inherited from an earlier turn. Correcting it produced WHERE month_start &lt;= '2026-08-01', still excluding two months. This is about when Genie was used without any mention of schema or table.</t>
  </si>
  <si>
    <t>I wouldn't call this a fix but fresh conversation per question when evaluating resolved this problem. This is related to General Genie Agent not the one in the application that I created.</t>
  </si>
  <si>
    <r>
      <t xml:space="preserve">Newtown's direct costs are disproportionately high relative to its revenue.' Costs were roughly flat across all six clinics (~190K); revenue varied twofold (290K to 641K). The cause was </t>
    </r>
    <r>
      <rPr>
        <b/>
        <sz val="9"/>
        <color rgb="FF444444"/>
        <rFont val="Arial"/>
        <family val="2"/>
      </rPr>
      <t>LOW REVENUE</t>
    </r>
    <r>
      <rPr>
        <sz val="9"/>
        <color rgb="FF444444"/>
        <rFont val="Arial"/>
        <charset val="1"/>
      </rPr>
      <t>, not high costs.</t>
    </r>
  </si>
  <si>
    <t>A refinement suggested WHERE month_start &lt; '2026-10-01'. It encoded  today's data boundary as a literal, so it silently excludes November data the moment it lands. It was also redundant — appointments_completed &gt; 0 already excludes future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</si>
</sst>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444444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name val="Courier New"/>
      <family val="1"/>
    </font>
    <font>
      <sz val="9"/>
      <color rgb="FF444444"/>
      <name val="Arial"/>
      <family val="2"/>
    </font>
    <font>
      <b/>
      <sz val="9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9C4"/>
        <bgColor rgb="FFFDF6E3"/>
      </patternFill>
    </fill>
    <fill>
      <patternFill patternType="solid">
        <fgColor rgb="FFFDF6E3"/>
        <bgColor rgb="FFFFF9C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6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Normal="100" workbookViewId="0">
      <pane ySplit="3" topLeftCell="A4" activePane="bottomLeft" state="frozen"/>
      <selection pane="bottomLeft" activeCell="G10" sqref="G10"/>
    </sheetView>
  </sheetViews>
  <sheetFormatPr baseColWidth="10" defaultColWidth="8.6640625" defaultRowHeight="15" x14ac:dyDescent="0.2"/>
  <cols>
    <col min="1" max="1" width="26" customWidth="1"/>
    <col min="2" max="3" width="20" customWidth="1"/>
    <col min="4" max="4" width="62" customWidth="1"/>
  </cols>
  <sheetData>
    <row r="1" spans="1:4" ht="30" customHeight="1" x14ac:dyDescent="0.2">
      <c r="A1" s="17" t="s">
        <v>0</v>
      </c>
      <c r="B1" s="17"/>
      <c r="C1" s="17"/>
      <c r="D1" s="17"/>
    </row>
    <row r="2" spans="1:4" ht="27.75" customHeight="1" x14ac:dyDescent="0.2">
      <c r="A2" s="18" t="s">
        <v>1</v>
      </c>
      <c r="B2" s="18"/>
      <c r="C2" s="18"/>
      <c r="D2" s="18"/>
    </row>
    <row r="4" spans="1:4" x14ac:dyDescent="0.2">
      <c r="A4" s="1" t="s">
        <v>2</v>
      </c>
      <c r="B4" s="2"/>
      <c r="C4" s="2"/>
      <c r="D4" s="2"/>
    </row>
    <row r="5" spans="1:4" ht="30" customHeight="1" x14ac:dyDescent="0.2">
      <c r="A5" s="3" t="s">
        <v>3</v>
      </c>
      <c r="B5" s="4" t="s">
        <v>4</v>
      </c>
      <c r="C5" s="4"/>
      <c r="D5" s="5" t="s">
        <v>5</v>
      </c>
    </row>
    <row r="6" spans="1:4" ht="30" customHeight="1" x14ac:dyDescent="0.2">
      <c r="A6" s="3" t="s">
        <v>6</v>
      </c>
      <c r="B6" s="4" t="s">
        <v>7</v>
      </c>
      <c r="C6" s="4"/>
      <c r="D6" s="5" t="s">
        <v>8</v>
      </c>
    </row>
    <row r="7" spans="1:4" ht="30" customHeight="1" x14ac:dyDescent="0.2">
      <c r="A7" s="3" t="s">
        <v>9</v>
      </c>
      <c r="B7" s="4" t="s">
        <v>10</v>
      </c>
      <c r="C7" s="4"/>
      <c r="D7" s="5"/>
    </row>
    <row r="8" spans="1:4" ht="30" customHeight="1" x14ac:dyDescent="0.2">
      <c r="A8" s="3" t="s">
        <v>11</v>
      </c>
      <c r="B8" s="4" t="s">
        <v>12</v>
      </c>
      <c r="C8" s="4"/>
      <c r="D8" s="5" t="s">
        <v>13</v>
      </c>
    </row>
    <row r="9" spans="1:4" ht="30" customHeight="1" x14ac:dyDescent="0.2">
      <c r="A9" s="3" t="s">
        <v>14</v>
      </c>
      <c r="B9" s="4" t="s">
        <v>15</v>
      </c>
      <c r="C9" s="4"/>
      <c r="D9" s="5" t="s">
        <v>16</v>
      </c>
    </row>
    <row r="10" spans="1:4" ht="30" customHeight="1" x14ac:dyDescent="0.2">
      <c r="A10" s="3" t="s">
        <v>17</v>
      </c>
      <c r="B10" s="4" t="s">
        <v>18</v>
      </c>
      <c r="C10" s="4"/>
      <c r="D10" s="5" t="s">
        <v>19</v>
      </c>
    </row>
    <row r="12" spans="1:4" x14ac:dyDescent="0.2">
      <c r="A12" s="1" t="s">
        <v>20</v>
      </c>
      <c r="B12" s="2"/>
      <c r="C12" s="2"/>
      <c r="D12" s="2"/>
    </row>
    <row r="13" spans="1:4" ht="32" customHeight="1" x14ac:dyDescent="0.2">
      <c r="A13" s="6" t="s">
        <v>21</v>
      </c>
      <c r="B13" s="4" t="s">
        <v>22</v>
      </c>
      <c r="C13" s="4"/>
      <c r="D13" s="4"/>
    </row>
    <row r="14" spans="1:4" ht="56" customHeight="1" x14ac:dyDescent="0.2">
      <c r="A14" s="6" t="s">
        <v>23</v>
      </c>
      <c r="B14" s="4" t="s">
        <v>24</v>
      </c>
      <c r="C14" s="4"/>
      <c r="D14" s="4"/>
    </row>
    <row r="15" spans="1:4" ht="32" customHeight="1" x14ac:dyDescent="0.2">
      <c r="A15" s="6" t="s">
        <v>25</v>
      </c>
      <c r="B15" s="4" t="s">
        <v>26</v>
      </c>
      <c r="C15" s="4"/>
      <c r="D15" s="4"/>
    </row>
    <row r="17" spans="1:4" x14ac:dyDescent="0.2">
      <c r="A17" s="1" t="s">
        <v>27</v>
      </c>
      <c r="B17" s="2"/>
      <c r="C17" s="2"/>
      <c r="D17" s="2"/>
    </row>
    <row r="18" spans="1:4" ht="25.5" customHeight="1" x14ac:dyDescent="0.2">
      <c r="A18" s="7"/>
      <c r="B18" s="7" t="s">
        <v>28</v>
      </c>
      <c r="C18" s="7" t="s">
        <v>29</v>
      </c>
      <c r="D18" s="7" t="s">
        <v>30</v>
      </c>
    </row>
    <row r="19" spans="1:4" ht="19.5" customHeight="1" x14ac:dyDescent="0.2">
      <c r="A19" s="3" t="s">
        <v>31</v>
      </c>
      <c r="B19" s="8">
        <v>5</v>
      </c>
      <c r="C19" s="8">
        <v>8</v>
      </c>
      <c r="D19" s="4" t="s">
        <v>32</v>
      </c>
    </row>
    <row r="20" spans="1:4" ht="19.5" customHeight="1" x14ac:dyDescent="0.2">
      <c r="A20" s="3" t="s">
        <v>33</v>
      </c>
      <c r="B20" s="8">
        <v>8</v>
      </c>
      <c r="C20" s="8">
        <v>8</v>
      </c>
      <c r="D20" s="4" t="s">
        <v>34</v>
      </c>
    </row>
    <row r="21" spans="1:4" ht="19.5" customHeight="1" x14ac:dyDescent="0.2">
      <c r="A21" s="3" t="s">
        <v>35</v>
      </c>
      <c r="B21" s="9">
        <f>IFERROR(B19/B20,"")</f>
        <v>0.625</v>
      </c>
      <c r="C21" s="9">
        <f>IFERROR(C19/C20,"")</f>
        <v>1</v>
      </c>
      <c r="D21" s="4"/>
    </row>
    <row r="24" spans="1:4" ht="45.75" customHeight="1" x14ac:dyDescent="0.2">
      <c r="A24" s="16" t="s">
        <v>36</v>
      </c>
      <c r="B24" s="16"/>
      <c r="C24" s="16"/>
      <c r="D24" s="16"/>
    </row>
  </sheetData>
  <mergeCells count="3">
    <mergeCell ref="A24:D24"/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opLeftCell="B1" zoomScaleNormal="100" workbookViewId="0">
      <pane ySplit="5" topLeftCell="A6" activePane="bottomLeft" state="frozen"/>
      <selection pane="bottomLeft" activeCell="G10" sqref="G10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5" width="8" customWidth="1"/>
    <col min="6" max="6" width="52" customWidth="1"/>
    <col min="7" max="7" width="46" customWidth="1"/>
  </cols>
  <sheetData>
    <row r="1" spans="1:7" ht="30" customHeight="1" x14ac:dyDescent="0.2">
      <c r="A1" s="17" t="s">
        <v>41</v>
      </c>
      <c r="B1" s="17"/>
      <c r="C1" s="17"/>
      <c r="D1" s="17"/>
      <c r="E1" s="17"/>
      <c r="F1" s="17"/>
      <c r="G1" s="17"/>
    </row>
    <row r="2" spans="1:7" ht="27.75" customHeight="1" x14ac:dyDescent="0.2">
      <c r="A2" s="18" t="s">
        <v>42</v>
      </c>
      <c r="B2" s="18"/>
      <c r="C2" s="18"/>
      <c r="D2" s="18"/>
      <c r="E2" s="18"/>
      <c r="F2" s="18"/>
      <c r="G2" s="18"/>
    </row>
    <row r="5" spans="1:7" ht="25.5" customHeight="1" x14ac:dyDescent="0.2">
      <c r="A5" s="7" t="s">
        <v>37</v>
      </c>
      <c r="B5" s="7" t="s">
        <v>38</v>
      </c>
      <c r="C5" s="7" t="s">
        <v>43</v>
      </c>
      <c r="D5" s="7" t="s">
        <v>44</v>
      </c>
      <c r="E5" s="7" t="s">
        <v>39</v>
      </c>
      <c r="F5" s="7" t="s">
        <v>40</v>
      </c>
      <c r="G5" s="7" t="s">
        <v>45</v>
      </c>
    </row>
    <row r="6" spans="1:7" ht="54" customHeight="1" x14ac:dyDescent="0.2">
      <c r="A6" s="8">
        <v>1</v>
      </c>
      <c r="B6" s="4" t="s">
        <v>94</v>
      </c>
      <c r="C6" s="8">
        <v>1</v>
      </c>
      <c r="D6" s="10">
        <v>2</v>
      </c>
      <c r="E6" s="10"/>
      <c r="F6" s="14" t="s">
        <v>98</v>
      </c>
      <c r="G6" s="15" t="s">
        <v>102</v>
      </c>
    </row>
    <row r="7" spans="1:7" ht="54" customHeight="1" x14ac:dyDescent="0.2">
      <c r="A7" s="8">
        <v>2</v>
      </c>
      <c r="B7" s="4" t="s">
        <v>95</v>
      </c>
      <c r="C7" s="8">
        <v>1</v>
      </c>
      <c r="D7" s="10">
        <v>2</v>
      </c>
      <c r="E7" s="10"/>
      <c r="F7" s="14" t="s">
        <v>99</v>
      </c>
      <c r="G7" s="15" t="s">
        <v>102</v>
      </c>
    </row>
    <row r="8" spans="1:7" ht="54" customHeight="1" x14ac:dyDescent="0.2">
      <c r="A8" s="8">
        <v>3</v>
      </c>
      <c r="B8" s="4" t="s">
        <v>96</v>
      </c>
      <c r="C8" s="8">
        <v>1</v>
      </c>
      <c r="D8" s="10">
        <v>2</v>
      </c>
      <c r="E8" s="10"/>
      <c r="F8" s="14" t="s">
        <v>100</v>
      </c>
      <c r="G8" s="15" t="s">
        <v>102</v>
      </c>
    </row>
    <row r="9" spans="1:7" ht="54" customHeight="1" x14ac:dyDescent="0.2">
      <c r="A9" s="8">
        <v>4</v>
      </c>
      <c r="B9" s="4" t="s">
        <v>97</v>
      </c>
      <c r="C9" s="8">
        <v>2</v>
      </c>
      <c r="D9" s="10">
        <v>2</v>
      </c>
      <c r="E9" s="10"/>
      <c r="F9" s="14" t="s">
        <v>101</v>
      </c>
      <c r="G9" s="15" t="s">
        <v>103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="120" zoomScaleNormal="120" workbookViewId="0">
      <pane ySplit="4" topLeftCell="A5" activePane="bottomLeft" state="frozen"/>
      <selection pane="bottomLeft" activeCell="D12" sqref="D12"/>
    </sheetView>
  </sheetViews>
  <sheetFormatPr baseColWidth="10" defaultColWidth="8.6640625" defaultRowHeight="15" x14ac:dyDescent="0.2"/>
  <cols>
    <col min="1" max="1" width="5" customWidth="1"/>
    <col min="2" max="2" width="30" customWidth="1"/>
    <col min="3" max="3" width="60" customWidth="1"/>
    <col min="4" max="5" width="52" customWidth="1"/>
  </cols>
  <sheetData>
    <row r="1" spans="1:5" ht="30" customHeight="1" x14ac:dyDescent="0.2">
      <c r="A1" s="17" t="s">
        <v>46</v>
      </c>
      <c r="B1" s="17"/>
      <c r="C1" s="17"/>
      <c r="D1" s="17"/>
      <c r="E1" s="17"/>
    </row>
    <row r="2" spans="1:5" ht="27.75" customHeight="1" x14ac:dyDescent="0.2">
      <c r="A2" s="18" t="s">
        <v>47</v>
      </c>
      <c r="B2" s="18"/>
      <c r="C2" s="18"/>
      <c r="D2" s="18"/>
      <c r="E2" s="18"/>
    </row>
    <row r="4" spans="1:5" ht="25.5" customHeight="1" x14ac:dyDescent="0.2">
      <c r="A4" s="7" t="s">
        <v>37</v>
      </c>
      <c r="B4" s="7" t="s">
        <v>48</v>
      </c>
      <c r="C4" s="7" t="s">
        <v>49</v>
      </c>
      <c r="D4" s="7" t="s">
        <v>50</v>
      </c>
      <c r="E4" s="7" t="s">
        <v>51</v>
      </c>
    </row>
    <row r="5" spans="1:5" ht="75.75" customHeight="1" x14ac:dyDescent="0.2">
      <c r="A5" s="8">
        <v>1</v>
      </c>
      <c r="B5" s="3" t="s">
        <v>52</v>
      </c>
      <c r="C5" s="19" t="s">
        <v>104</v>
      </c>
      <c r="D5" s="5" t="s">
        <v>53</v>
      </c>
      <c r="E5" s="19" t="s">
        <v>105</v>
      </c>
    </row>
    <row r="6" spans="1:5" ht="75.75" customHeight="1" x14ac:dyDescent="0.2">
      <c r="A6" s="11">
        <v>2</v>
      </c>
      <c r="B6" s="12" t="s">
        <v>54</v>
      </c>
      <c r="C6" s="13" t="s">
        <v>55</v>
      </c>
      <c r="D6" s="13" t="s">
        <v>56</v>
      </c>
      <c r="E6" s="13" t="s">
        <v>57</v>
      </c>
    </row>
    <row r="7" spans="1:5" ht="75.75" customHeight="1" x14ac:dyDescent="0.2">
      <c r="A7" s="8">
        <v>3</v>
      </c>
      <c r="B7" s="3" t="s">
        <v>58</v>
      </c>
      <c r="C7" s="20" t="s">
        <v>106</v>
      </c>
      <c r="D7" s="5" t="s">
        <v>59</v>
      </c>
      <c r="E7" s="5" t="s">
        <v>60</v>
      </c>
    </row>
    <row r="8" spans="1:5" ht="75.75" customHeight="1" x14ac:dyDescent="0.2">
      <c r="A8" s="8">
        <v>4</v>
      </c>
      <c r="B8" s="3" t="s">
        <v>61</v>
      </c>
      <c r="C8" s="5" t="s">
        <v>62</v>
      </c>
      <c r="D8" s="5" t="s">
        <v>63</v>
      </c>
      <c r="E8" s="5" t="s">
        <v>64</v>
      </c>
    </row>
    <row r="9" spans="1:5" ht="78" customHeight="1" x14ac:dyDescent="0.2">
      <c r="A9" s="8">
        <v>5</v>
      </c>
      <c r="B9" s="3" t="s">
        <v>65</v>
      </c>
      <c r="C9" s="5" t="s">
        <v>66</v>
      </c>
      <c r="D9" s="5" t="s">
        <v>67</v>
      </c>
      <c r="E9" s="5" t="s">
        <v>68</v>
      </c>
    </row>
    <row r="10" spans="1:5" ht="75.75" customHeight="1" x14ac:dyDescent="0.2">
      <c r="A10" s="8">
        <v>6</v>
      </c>
      <c r="B10" s="3" t="s">
        <v>69</v>
      </c>
      <c r="C10" s="5" t="s">
        <v>70</v>
      </c>
      <c r="D10" s="5" t="s">
        <v>71</v>
      </c>
      <c r="E10" s="5" t="s">
        <v>72</v>
      </c>
    </row>
    <row r="11" spans="1:5" ht="75.75" customHeight="1" x14ac:dyDescent="0.2">
      <c r="A11" s="8">
        <v>7</v>
      </c>
      <c r="B11" s="3" t="s">
        <v>73</v>
      </c>
      <c r="C11" s="19" t="s">
        <v>107</v>
      </c>
      <c r="D11" s="5" t="s">
        <v>74</v>
      </c>
      <c r="E11" s="5" t="s">
        <v>75</v>
      </c>
    </row>
    <row r="12" spans="1:5" ht="75.75" customHeight="1" x14ac:dyDescent="0.2">
      <c r="A12" s="8">
        <v>8</v>
      </c>
      <c r="B12" s="3" t="s">
        <v>76</v>
      </c>
      <c r="C12" s="5" t="s">
        <v>77</v>
      </c>
      <c r="D12" s="5" t="s">
        <v>78</v>
      </c>
      <c r="E12" s="5" t="s">
        <v>79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pane ySplit="4" topLeftCell="A5" activePane="bottomLeft" state="frozen"/>
      <selection pane="bottomLeft" activeCell="C8" sqref="C8"/>
    </sheetView>
  </sheetViews>
  <sheetFormatPr baseColWidth="10" defaultColWidth="8.6640625" defaultRowHeight="15" x14ac:dyDescent="0.2"/>
  <cols>
    <col min="1" max="1" width="8" customWidth="1"/>
    <col min="2" max="2" width="34" customWidth="1"/>
    <col min="3" max="3" width="96" customWidth="1"/>
  </cols>
  <sheetData>
    <row r="1" spans="1:3" ht="30" customHeight="1" x14ac:dyDescent="0.2">
      <c r="A1" s="17" t="s">
        <v>80</v>
      </c>
      <c r="B1" s="17"/>
      <c r="C1" s="17"/>
    </row>
    <row r="2" spans="1:3" ht="27.75" customHeight="1" x14ac:dyDescent="0.2">
      <c r="A2" s="18" t="s">
        <v>81</v>
      </c>
      <c r="B2" s="18"/>
      <c r="C2" s="18"/>
    </row>
    <row r="4" spans="1:3" ht="25.5" customHeight="1" x14ac:dyDescent="0.2">
      <c r="A4" s="7" t="s">
        <v>82</v>
      </c>
      <c r="B4" s="7" t="s">
        <v>83</v>
      </c>
      <c r="C4" s="7" t="s">
        <v>50</v>
      </c>
    </row>
    <row r="5" spans="1:3" ht="64.5" customHeight="1" x14ac:dyDescent="0.2">
      <c r="A5" s="8">
        <v>1</v>
      </c>
      <c r="B5" s="3" t="s">
        <v>84</v>
      </c>
      <c r="C5" s="5" t="s">
        <v>85</v>
      </c>
    </row>
    <row r="6" spans="1:3" ht="45.75" customHeight="1" x14ac:dyDescent="0.2">
      <c r="A6" s="8">
        <v>2</v>
      </c>
      <c r="B6" s="3" t="s">
        <v>86</v>
      </c>
      <c r="C6" s="5" t="s">
        <v>87</v>
      </c>
    </row>
    <row r="7" spans="1:3" ht="45.75" customHeight="1" x14ac:dyDescent="0.2">
      <c r="A7" s="8">
        <v>3</v>
      </c>
      <c r="B7" s="3" t="s">
        <v>88</v>
      </c>
      <c r="C7" s="5" t="s">
        <v>89</v>
      </c>
    </row>
    <row r="8" spans="1:3" ht="51.75" customHeight="1" x14ac:dyDescent="0.2">
      <c r="A8" s="8">
        <v>4</v>
      </c>
      <c r="B8" s="3" t="s">
        <v>90</v>
      </c>
      <c r="C8" s="5" t="s">
        <v>91</v>
      </c>
    </row>
    <row r="9" spans="1:3" ht="45.75" customHeight="1" x14ac:dyDescent="0.2">
      <c r="A9" s="8">
        <v>5</v>
      </c>
      <c r="B9" s="3" t="s">
        <v>92</v>
      </c>
      <c r="C9" s="5" t="s">
        <v>93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After curation</vt:lpstr>
      <vt:lpstr>Findings</vt:lpstr>
      <vt:lpstr>Quality levers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Qasim bin Mehmood</cp:lastModifiedBy>
  <cp:revision>0</cp:revision>
  <dcterms:created xsi:type="dcterms:W3CDTF">2026-09-17T05:35:43Z</dcterms:created>
  <dcterms:modified xsi:type="dcterms:W3CDTF">2026-09-20T10:51:06Z</dcterms:modified>
  <dc:language>en-US</dc:language>
</cp:coreProperties>
</file>
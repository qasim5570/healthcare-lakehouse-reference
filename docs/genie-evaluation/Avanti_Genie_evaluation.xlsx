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https://d.docs.live.net/0d44ed6bc9ff19ff/NFT - Internship/Avanti/Proposed Solution/Azure Databricks/avanti-command-centre/docs/genie-evaluation/"/>
    </mc:Choice>
  </mc:AlternateContent>
  <xr:revisionPtr revIDLastSave="1" documentId="11_2590E4722B3D3E71C4409ABE8070AF38911AFF1D" xr6:coauthVersionLast="47" xr6:coauthVersionMax="47" xr10:uidLastSave="{49CA3BCB-E1B4-1B4F-BC3B-C01EF2EE9E3B}"/>
  <bookViews>
    <workbookView xWindow="53400" yWindow="600" windowWidth="19200" windowHeight="21000" tabRatio="500" xr2:uid="{00000000-000D-0000-FFFF-FFFF00000000}"/>
  </bookViews>
  <sheets>
    <sheet name="Summary" sheetId="1" r:id="rId1"/>
    <sheet name="Baseline" sheetId="2" r:id="rId2"/>
    <sheet name="After curation" sheetId="3" r:id="rId3"/>
    <sheet name="Findings" sheetId="4" r:id="rId4"/>
    <sheet name="Quality lever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" i="3" l="1"/>
  <c r="C9" i="3"/>
  <c r="C8" i="3"/>
  <c r="C7" i="3"/>
  <c r="C6" i="3"/>
  <c r="C20" i="1"/>
  <c r="B20" i="1"/>
  <c r="C19" i="1"/>
  <c r="C21" i="1" s="1"/>
  <c r="B19" i="1"/>
  <c r="B21" i="1" s="1"/>
</calcChain>
</file>

<file path=xl/sharedStrings.xml><?xml version="1.0" encoding="utf-8"?>
<sst xmlns="http://schemas.openxmlformats.org/spreadsheetml/2006/main" count="126" uniqueCount="115">
  <si>
    <t>Genie evaluation — Avanti Command Centre</t>
  </si>
  <si>
    <t>Is Databricks Genie accurate enough to serve the natural-language layer of the app, or is a custom tool-calling implementation needed? Yellow cells are to be completed.</t>
  </si>
  <si>
    <t>SETUP</t>
  </si>
  <si>
    <t>Genie space</t>
  </si>
  <si>
    <t>Healthcare Clinic Performance</t>
  </si>
  <si>
    <t>Curated space, not ad-hoc Genie chat. The space is what constrains it to chosen tables and carries the instructions.</t>
  </si>
  <si>
    <t>Tables exposed</t>
  </si>
  <si>
    <t>avanti_dev.gold marts only</t>
  </si>
  <si>
    <t>mart_clinic_monthly, mart_practitioner_monthly, mart_service_monthly, mart_patient_summary. Bronze and Silver deliberately excluded.</t>
  </si>
  <si>
    <t>SQL warehouse</t>
  </si>
  <si>
    <t>Serverless Starter (Small)</t>
  </si>
  <si>
    <t>Questions</t>
  </si>
  <si>
    <t>Phrased as a clinic director would ask</t>
  </si>
  <si>
    <t>Not phrased as SQL. The point is to test the translation, not the schema knowledge.</t>
  </si>
  <si>
    <t>Conversations</t>
  </si>
  <si>
    <t>One fresh conversation per question</t>
  </si>
  <si>
    <t>Context silently narrows scope — see Finding 1. Testing in one thread measures the conversation, not the capability.</t>
  </si>
  <si>
    <t>Scored on</t>
  </si>
  <si>
    <t>The generated SQL, not the prose</t>
  </si>
  <si>
    <t>The SQL is evidence. The summary is an interpretation and has been wrong while the numbers were right.</t>
  </si>
  <si>
    <t>SCORING</t>
  </si>
  <si>
    <t>2</t>
  </si>
  <si>
    <t>Correct figures AND correct interpretation</t>
  </si>
  <si>
    <t>1</t>
  </si>
  <si>
    <t>Right approach, but wrong scope, wrong grain, or needed a follow-up</t>
  </si>
  <si>
    <t>0</t>
  </si>
  <si>
    <t>Wrong, or refused to answer</t>
  </si>
  <si>
    <t>RESULT</t>
  </si>
  <si>
    <t>Baseline</t>
  </si>
  <si>
    <t>After curation</t>
  </si>
  <si>
    <t>Notes</t>
  </si>
  <si>
    <t>Total score</t>
  </si>
  <si>
    <t>Sum of the per-question scores on the detail tabs.</t>
  </si>
  <si>
    <t>Out of</t>
  </si>
  <si>
    <t>Two points per question answered.</t>
  </si>
  <si>
    <t>Percentage</t>
  </si>
  <si>
    <t>DECISION</t>
  </si>
  <si>
    <t>Genie is sufficient?</t>
  </si>
  <si>
    <t>If yes: wrap the Conversations API, always show the SQL, keep this benchmark as a regression test. If no: build a tool-calling layer over the marts, with this benchmark as the acceptance criterion.</t>
  </si>
  <si>
    <t>Reason 1</t>
  </si>
  <si>
    <t>Reason 2</t>
  </si>
  <si>
    <t>Reason 3</t>
  </si>
  <si>
    <t>CAVEAT — the data is synthetic. Clinics are assigned round-robin by the generator, so genuine outliers are unlikely and apparent differences are largely artefacts of interacting modulo cycles. Any business 'insight' here is a rendering test, not a finding. Five questions is enough to make a build-or-wrap decision; not enough to claim an accuracy figure.</t>
  </si>
  <si>
    <t>Baseline — bare space, no instructions</t>
  </si>
  <si>
    <t>Run before adding instructions or sample queries, to establish whether the mart design alone is self-explanatory. Yellow cells are to be completed.</t>
  </si>
  <si>
    <t>#</t>
  </si>
  <si>
    <t>Question (as asked)</t>
  </si>
  <si>
    <t>Expected answer</t>
  </si>
  <si>
    <t>Score</t>
  </si>
  <si>
    <t>Generated SQL</t>
  </si>
  <si>
    <t>Why it scored that</t>
  </si>
  <si>
    <t>Which clinic is least profitable?</t>
  </si>
  <si>
    <t>Which month was least profitable?</t>
  </si>
  <si>
    <t>Which discipline generates the most revenue?</t>
  </si>
  <si>
    <t>How much revenue have we lost to appointments not attended?</t>
  </si>
  <si>
    <t>Show me revenue by clinic by month</t>
  </si>
  <si>
    <t>If a clean baseline was not captured before instructions were added, say so here rather than reconstructing one. A missing baseline is more honest than an invented one.</t>
  </si>
  <si>
    <t>After curation — instructions and sample queries added</t>
  </si>
  <si>
    <t>Same questions, same scoring, fresh conversations. The only variable is the space configuration.</t>
  </si>
  <si>
    <t>Before</t>
  </si>
  <si>
    <t>After</t>
  </si>
  <si>
    <t>What changed</t>
  </si>
  <si>
    <t>Findings</t>
  </si>
  <si>
    <t>What the evaluation surfaced. Failures and successes both — the successes matter because they show where the ceiling is.</t>
  </si>
  <si>
    <t>Finding</t>
  </si>
  <si>
    <t>What happened</t>
  </si>
  <si>
    <t>Why it matters</t>
  </si>
  <si>
    <t>Fix</t>
  </si>
  <si>
    <t>Conversation context silently narrows scope</t>
  </si>
  <si>
    <t>Asked 'give me the least profitable clinic'. Generated SQL contained WHERE month_start = '2026-08-01'. Nothing in the question mentioned August — the scope was inherited from an earlier turn. Correcting it produced WHERE month_start &lt;= '2026-08-01', still excluding two months.</t>
  </si>
  <si>
    <t>A manager asking three questions may have the third answered under constraints from the first, with no indication. For a client-facing tool that is a correctness problem, not a usability one.</t>
  </si>
  <si>
    <t>Fresh conversation per question when evaluating. In the app, consider making continuation explicit rather than the default.</t>
  </si>
  <si>
    <t>Grain ambiguity produced a confidently wrong answer</t>
  </si>
  <si>
    <t>RANK() OVER (ORDER BY margin ASC) applied to clinic-MONTH rows, then WHERE rnk = 1. October 2026 rows are future bookings with no completed appointments, so margin is exactly 0.0 for all six clinics. RANK tied them at 1. Answer: 'all clinics are equally unprofitable'.</t>
  </si>
  <si>
    <t>The SQL was valid. The logic was defensible. The answer was nonsense. Grain ambiguity meeting a data artefact is the most common source of quietly-wrong answers, and neither half is a model failure.</t>
  </si>
  <si>
    <t>Instruction: exclude rows with appointments_completed = 0 from revenue, cost, margin and utilisation questions; aggregate across months with GROUP BY before ranking, never rank entity-month rows.</t>
  </si>
  <si>
    <t>Correct figures, incorrect narrative</t>
  </si>
  <si>
    <t>'Newtown's direct costs are disproportionately high relative to its revenue.' Costs were roughly flat across all six clinics (~190K); revenue varied twofold (290K to 641K). The cause was LOW REVENUE, not high costs.</t>
  </si>
  <si>
    <t>The strongest argument for the app rendering the table and the SQL rather than the summary alone. A reader who skims the prose takes away the wrong conclusion.</t>
  </si>
  <si>
    <t>None available at the model level. Mitigated in the app: the data table and a SQL expander always render alongside the prose.</t>
  </si>
  <si>
    <t>Sample values read as a complete set</t>
  </si>
  <si>
    <t>'Show me revenue by clinic by month' returned 96 rows. The prose listed three months per clinic — first, peak, last — prefaced with 'Examples include'. Alongside a clause about excluding months with no completions, it reads as though only those months have data.</t>
  </si>
  <si>
    <t>Same pattern as Finding 3: the numbers are right and the prose creates a false impression. Worse here because without a rendered table the prose is all the user sees.</t>
  </si>
  <si>
    <t>The app renders all 96 rows as a chart and a table.</t>
  </si>
  <si>
    <t>Analytical judgement that exceeded expectations</t>
  </si>
  <si>
    <t>Asked which month was least profitable: 'July 2025, January 2026 and September 2026 show lower absolute margin, but these reflect partial-month data, not lower profitability rates.' Asked which discipline was most profitable, it answered BOTH readings — highest absolute margin and highest margin rate.</t>
  </si>
  <si>
    <t>Recognising partial periods and surfacing an ambiguous term rather than silently choosing are both real analytical judgements. Notable given that silently choosing was the failure in Finding 1.</t>
  </si>
  <si>
    <t>None needed. Recorded because an evaluation that lists only failures misrepresents the tool.</t>
  </si>
  <si>
    <t>Definitional ambiguity, surfaced by the benchmark</t>
  </si>
  <si>
    <t>Ground truth ordered by margin_pct (lowest RATE). Genie ordered by total_margin (lowest AMOUNT). Both are defensible readings of 'least profitable' — a small efficient clinic has low absolute margin; a large inefficient one has high absolute margin.</t>
  </si>
  <si>
    <t>THE MOST VALUABLE FINDING. Neither was wrong — the question was. It only surfaced because writing ground-truth SQL forced the definition to be written down, which is exactly what a real engagement does with a CFO before any SQL is written. Hand-scoring answers would never have found it.</t>
  </si>
  <si>
    <t>Instruction defining the term: 'least profitable' means the lowest margin percentage, ranked by SUM(margin) / SUM(revenue).</t>
  </si>
  <si>
    <t>Hardcoded dates in generated SQL</t>
  </si>
  <si>
    <t>A refinement suggested WHERE month_start &lt; '2026-10-01'. It encodes today's data boundary as a literal, so it silently excludes November data the moment it lands. It was also redundant — appointments_completed &gt; 0 already excludes future months.</t>
  </si>
  <si>
    <t>The model observed that October rows were empty and encoded THAT SPECIFIC FACT rather than the rule behind it. Same class of error as a hardcoded catalog name in a config file.</t>
  </si>
  <si>
    <t>Rejected the suggestion. Instruction: never hardcode dates; use relative conditions so queries stay correct as new data arrives.</t>
  </si>
  <si>
    <t>Instructions need scope, not just content</t>
  </si>
  <si>
    <t>'Exclude rows with appointments_completed = 0' began appearing on appointment-VOLUME questions — 'how much revenue did we lose to DNAs' — where it is wrong. A month can have DNAs and no completions, and excluding it understates the total.</t>
  </si>
  <si>
    <t>The instruction said 'exclude them', which the model reasonably took as global. An instruction must say WHEN it applies, not only what to do. The model can only respect a condition that was given.</t>
  </si>
  <si>
    <t>Rewritten with a condition: exclude from revenue, cost, margin and utilisation questions; do NOT exclude from appointment-volume questions.</t>
  </si>
  <si>
    <t>What actually drives answer quality</t>
  </si>
  <si>
    <t>In order of impact, as observed during this evaluation. Note that the model is last.</t>
  </si>
  <si>
    <t>Rank</t>
  </si>
  <si>
    <t>Lever</t>
  </si>
  <si>
    <t>The semantic layer (Gold marts)</t>
  </si>
  <si>
    <t>Genie answered profitability questions because margin and margin_pct were ALREADY COMPUTED in the marts, with the DNA billing rule applied. Pointed at Bronze it would have had to invent a fee schedule. Most of what made answers correct was work done in the pipeline months earlier.</t>
  </si>
  <si>
    <t>Table and column comments in Unity Catalog</t>
  </si>
  <si>
    <t>Read directly as schema context. Nothing substitutes for them. Tables in this project have comments; columns are patchier — the highest-value remaining improvement.</t>
  </si>
  <si>
    <t>Curated sample queries</t>
  </si>
  <si>
    <t>Heavily weighted. One correct example fixes a whole class of question, more reliably than a paragraph of prose instruction.</t>
  </si>
  <si>
    <t>Instructions</t>
  </si>
  <si>
    <t>Good for rules and conventions. Compete for attention when long — the space warns that long instructions limit how much it can learn from other context. Genie's own generated instructions were verbose; trimming them by about 40% lost nothing.</t>
  </si>
  <si>
    <t>Model choice</t>
  </si>
  <si>
    <t>Least significant of the five.</t>
  </si>
  <si>
    <t>METHOD NOTE — the first pass at this evaluation was not an evaluation. Instructions were changed, the failing question re-asked, improvement observed, and the change kept. That demonstrates one question got better; it says nothing about whether the change helped generally or broke something that previously worked. The correct loop: collect real questions, write ground-truth SQL agreed with the business, baseline, change ONE thing, re-measure, keep or revert. Genie Agents has a benchmarking feature that takes question-plus-expected-SQL pairs — that should have been step 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</si>
</sst>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9"/>
      <color rgb="FF444444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9"/>
      <name val="Courier New"/>
      <charset val="1"/>
    </font>
  </fonts>
  <fills count="5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9C4"/>
        <bgColor rgb="FFFDF6E3"/>
      </patternFill>
    </fill>
    <fill>
      <patternFill patternType="solid">
        <fgColor rgb="FFFDF6E3"/>
        <bgColor rgb="FFFFF9C4"/>
      </patternFill>
    </fill>
  </fills>
  <borders count="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/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4" borderId="2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indent="1"/>
    </xf>
    <xf numFmtId="0" fontId="3" fillId="2" borderId="0" xfId="0" applyFont="1" applyFill="1"/>
    <xf numFmtId="0" fontId="0" fillId="2" borderId="0" xfId="0" applyFill="1"/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top" wrapText="1"/>
    </xf>
    <xf numFmtId="9" fontId="5" fillId="0" borderId="1" xfId="0" applyNumberFormat="1" applyFont="1" applyBorder="1" applyAlignment="1">
      <alignment horizontal="center" vertical="top" wrapText="1"/>
    </xf>
    <xf numFmtId="0" fontId="5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horizontal="center" vertical="top" wrapText="1"/>
    </xf>
    <xf numFmtId="0" fontId="7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6E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tabSelected="1" zoomScaleNormal="100" workbookViewId="0">
      <pane ySplit="3" topLeftCell="A4" activePane="bottomLeft" state="frozen"/>
      <selection pane="bottomLeft" activeCell="B13" sqref="B13"/>
    </sheetView>
  </sheetViews>
  <sheetFormatPr baseColWidth="10" defaultColWidth="8.6640625" defaultRowHeight="15" x14ac:dyDescent="0.2"/>
  <cols>
    <col min="1" max="1" width="26" customWidth="1"/>
    <col min="2" max="3" width="20" customWidth="1"/>
    <col min="4" max="4" width="62" customWidth="1"/>
  </cols>
  <sheetData>
    <row r="1" spans="1:4" ht="30" customHeight="1" x14ac:dyDescent="0.2">
      <c r="A1" s="4" t="s">
        <v>0</v>
      </c>
      <c r="B1" s="4"/>
      <c r="C1" s="4"/>
      <c r="D1" s="4"/>
    </row>
    <row r="2" spans="1:4" ht="27.75" customHeight="1" x14ac:dyDescent="0.2">
      <c r="A2" s="3" t="s">
        <v>1</v>
      </c>
      <c r="B2" s="3"/>
      <c r="C2" s="3"/>
      <c r="D2" s="3"/>
    </row>
    <row r="4" spans="1:4" x14ac:dyDescent="0.2">
      <c r="A4" s="5" t="s">
        <v>2</v>
      </c>
      <c r="B4" s="6"/>
      <c r="C4" s="6"/>
      <c r="D4" s="6"/>
    </row>
    <row r="5" spans="1:4" ht="30" customHeight="1" x14ac:dyDescent="0.2">
      <c r="A5" s="7" t="s">
        <v>3</v>
      </c>
      <c r="B5" s="8" t="s">
        <v>4</v>
      </c>
      <c r="C5" s="8"/>
      <c r="D5" s="9" t="s">
        <v>5</v>
      </c>
    </row>
    <row r="6" spans="1:4" ht="30" customHeight="1" x14ac:dyDescent="0.2">
      <c r="A6" s="7" t="s">
        <v>6</v>
      </c>
      <c r="B6" s="8" t="s">
        <v>7</v>
      </c>
      <c r="C6" s="8"/>
      <c r="D6" s="9" t="s">
        <v>8</v>
      </c>
    </row>
    <row r="7" spans="1:4" ht="30" customHeight="1" x14ac:dyDescent="0.2">
      <c r="A7" s="7" t="s">
        <v>9</v>
      </c>
      <c r="B7" s="8" t="s">
        <v>10</v>
      </c>
      <c r="C7" s="8"/>
      <c r="D7" s="9"/>
    </row>
    <row r="8" spans="1:4" ht="30" customHeight="1" x14ac:dyDescent="0.2">
      <c r="A8" s="7" t="s">
        <v>11</v>
      </c>
      <c r="B8" s="8" t="s">
        <v>12</v>
      </c>
      <c r="C8" s="8"/>
      <c r="D8" s="9" t="s">
        <v>13</v>
      </c>
    </row>
    <row r="9" spans="1:4" ht="30" customHeight="1" x14ac:dyDescent="0.2">
      <c r="A9" s="7" t="s">
        <v>14</v>
      </c>
      <c r="B9" s="8" t="s">
        <v>15</v>
      </c>
      <c r="C9" s="8"/>
      <c r="D9" s="9" t="s">
        <v>16</v>
      </c>
    </row>
    <row r="10" spans="1:4" ht="30" customHeight="1" x14ac:dyDescent="0.2">
      <c r="A10" s="7" t="s">
        <v>17</v>
      </c>
      <c r="B10" s="8" t="s">
        <v>18</v>
      </c>
      <c r="C10" s="8"/>
      <c r="D10" s="9" t="s">
        <v>19</v>
      </c>
    </row>
    <row r="12" spans="1:4" x14ac:dyDescent="0.2">
      <c r="A12" s="5" t="s">
        <v>20</v>
      </c>
      <c r="B12" s="6"/>
      <c r="C12" s="6"/>
      <c r="D12" s="6"/>
    </row>
    <row r="13" spans="1:4" ht="32" customHeight="1" x14ac:dyDescent="0.2">
      <c r="A13" s="10" t="s">
        <v>21</v>
      </c>
      <c r="B13" s="8" t="s">
        <v>22</v>
      </c>
      <c r="C13" s="8"/>
      <c r="D13" s="8"/>
    </row>
    <row r="14" spans="1:4" ht="18" customHeight="1" x14ac:dyDescent="0.2">
      <c r="A14" s="10" t="s">
        <v>23</v>
      </c>
      <c r="B14" s="8" t="s">
        <v>24</v>
      </c>
      <c r="C14" s="8"/>
      <c r="D14" s="8"/>
    </row>
    <row r="15" spans="1:4" ht="18" customHeight="1" x14ac:dyDescent="0.2">
      <c r="A15" s="10" t="s">
        <v>25</v>
      </c>
      <c r="B15" s="8" t="s">
        <v>26</v>
      </c>
      <c r="C15" s="8"/>
      <c r="D15" s="8"/>
    </row>
    <row r="17" spans="1:4" x14ac:dyDescent="0.2">
      <c r="A17" s="5" t="s">
        <v>27</v>
      </c>
      <c r="B17" s="6"/>
      <c r="C17" s="6"/>
      <c r="D17" s="6"/>
    </row>
    <row r="18" spans="1:4" ht="25.5" customHeight="1" x14ac:dyDescent="0.2">
      <c r="A18" s="11"/>
      <c r="B18" s="11" t="s">
        <v>28</v>
      </c>
      <c r="C18" s="11" t="s">
        <v>29</v>
      </c>
      <c r="D18" s="11" t="s">
        <v>30</v>
      </c>
    </row>
    <row r="19" spans="1:4" ht="19.5" customHeight="1" x14ac:dyDescent="0.2">
      <c r="A19" s="7" t="s">
        <v>31</v>
      </c>
      <c r="B19" s="12">
        <f>SUM(Baseline!D6:D10)</f>
        <v>0</v>
      </c>
      <c r="C19" s="12">
        <f>SUM('After curation'!E6:E10)</f>
        <v>0</v>
      </c>
      <c r="D19" s="8" t="s">
        <v>32</v>
      </c>
    </row>
    <row r="20" spans="1:4" ht="19.5" customHeight="1" x14ac:dyDescent="0.2">
      <c r="A20" s="7" t="s">
        <v>33</v>
      </c>
      <c r="B20" s="12">
        <f>COUNT(Baseline!D6:D10)*2</f>
        <v>0</v>
      </c>
      <c r="C20" s="12">
        <f>COUNT('After curation'!E6:E10)*2</f>
        <v>0</v>
      </c>
      <c r="D20" s="8" t="s">
        <v>34</v>
      </c>
    </row>
    <row r="21" spans="1:4" ht="19.5" customHeight="1" x14ac:dyDescent="0.2">
      <c r="A21" s="7" t="s">
        <v>35</v>
      </c>
      <c r="B21" s="13" t="str">
        <f>IFERROR(B19/B20,"")</f>
        <v/>
      </c>
      <c r="C21" s="13" t="str">
        <f>IFERROR(C19/C20,"")</f>
        <v/>
      </c>
      <c r="D21" s="8"/>
    </row>
    <row r="23" spans="1:4" x14ac:dyDescent="0.2">
      <c r="A23" s="5" t="s">
        <v>36</v>
      </c>
      <c r="B23" s="6"/>
      <c r="C23" s="6"/>
      <c r="D23" s="6"/>
    </row>
    <row r="24" spans="1:4" ht="45.75" customHeight="1" x14ac:dyDescent="0.2">
      <c r="A24" s="7" t="s">
        <v>37</v>
      </c>
      <c r="B24" s="14"/>
      <c r="C24" s="8"/>
      <c r="D24" s="9" t="s">
        <v>38</v>
      </c>
    </row>
    <row r="25" spans="1:4" ht="30" customHeight="1" x14ac:dyDescent="0.2">
      <c r="A25" s="7" t="s">
        <v>39</v>
      </c>
      <c r="B25" s="2"/>
      <c r="C25" s="2"/>
      <c r="D25" s="2"/>
    </row>
    <row r="26" spans="1:4" ht="30" customHeight="1" x14ac:dyDescent="0.2">
      <c r="A26" s="7" t="s">
        <v>40</v>
      </c>
      <c r="B26" s="2"/>
      <c r="C26" s="2"/>
      <c r="D26" s="2"/>
    </row>
    <row r="27" spans="1:4" ht="30" customHeight="1" x14ac:dyDescent="0.2">
      <c r="A27" s="7" t="s">
        <v>41</v>
      </c>
      <c r="B27" s="2"/>
      <c r="C27" s="2"/>
      <c r="D27" s="2"/>
    </row>
    <row r="29" spans="1:4" ht="45.75" customHeight="1" x14ac:dyDescent="0.2">
      <c r="A29" s="1" t="s">
        <v>42</v>
      </c>
      <c r="B29" s="1"/>
      <c r="C29" s="1"/>
      <c r="D29" s="1"/>
    </row>
  </sheetData>
  <mergeCells count="6">
    <mergeCell ref="A29:D29"/>
    <mergeCell ref="A1:D1"/>
    <mergeCell ref="A2:D2"/>
    <mergeCell ref="B25:D25"/>
    <mergeCell ref="B26:D26"/>
    <mergeCell ref="B27:D2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5" x14ac:dyDescent="0.2"/>
  <cols>
    <col min="1" max="1" width="5" customWidth="1"/>
    <col min="2" max="2" width="34" customWidth="1"/>
    <col min="3" max="3" width="30" customWidth="1"/>
    <col min="4" max="4" width="8" customWidth="1"/>
    <col min="5" max="5" width="52" customWidth="1"/>
    <col min="6" max="6" width="46" customWidth="1"/>
  </cols>
  <sheetData>
    <row r="1" spans="1:6" ht="30" customHeight="1" x14ac:dyDescent="0.2">
      <c r="A1" s="4" t="s">
        <v>43</v>
      </c>
      <c r="B1" s="4"/>
      <c r="C1" s="4"/>
      <c r="D1" s="4"/>
      <c r="E1" s="4"/>
      <c r="F1" s="4"/>
    </row>
    <row r="2" spans="1:6" ht="27.75" customHeight="1" x14ac:dyDescent="0.2">
      <c r="A2" s="3" t="s">
        <v>44</v>
      </c>
      <c r="B2" s="3"/>
      <c r="C2" s="3"/>
      <c r="D2" s="3"/>
      <c r="E2" s="3"/>
      <c r="F2" s="3"/>
    </row>
    <row r="5" spans="1:6" ht="25.5" customHeight="1" x14ac:dyDescent="0.2">
      <c r="A5" s="11" t="s">
        <v>45</v>
      </c>
      <c r="B5" s="11" t="s">
        <v>46</v>
      </c>
      <c r="C5" s="11" t="s">
        <v>47</v>
      </c>
      <c r="D5" s="11" t="s">
        <v>48</v>
      </c>
      <c r="E5" s="11" t="s">
        <v>49</v>
      </c>
      <c r="F5" s="11" t="s">
        <v>50</v>
      </c>
    </row>
    <row r="6" spans="1:6" ht="54" customHeight="1" x14ac:dyDescent="0.2">
      <c r="A6" s="12">
        <v>1</v>
      </c>
      <c r="B6" s="8" t="s">
        <v>51</v>
      </c>
      <c r="C6" s="14"/>
      <c r="D6" s="15"/>
      <c r="E6" s="16"/>
      <c r="F6" s="17"/>
    </row>
    <row r="7" spans="1:6" ht="54" customHeight="1" x14ac:dyDescent="0.2">
      <c r="A7" s="12">
        <v>2</v>
      </c>
      <c r="B7" s="8" t="s">
        <v>52</v>
      </c>
      <c r="C7" s="14"/>
      <c r="D7" s="15"/>
      <c r="E7" s="16"/>
      <c r="F7" s="17"/>
    </row>
    <row r="8" spans="1:6" ht="54" customHeight="1" x14ac:dyDescent="0.2">
      <c r="A8" s="12">
        <v>3</v>
      </c>
      <c r="B8" s="8" t="s">
        <v>53</v>
      </c>
      <c r="C8" s="14"/>
      <c r="D8" s="15"/>
      <c r="E8" s="16"/>
      <c r="F8" s="17"/>
    </row>
    <row r="9" spans="1:6" ht="54" customHeight="1" x14ac:dyDescent="0.2">
      <c r="A9" s="12">
        <v>4</v>
      </c>
      <c r="B9" s="8" t="s">
        <v>54</v>
      </c>
      <c r="C9" s="14"/>
      <c r="D9" s="15"/>
      <c r="E9" s="16"/>
      <c r="F9" s="17"/>
    </row>
    <row r="10" spans="1:6" ht="54" customHeight="1" x14ac:dyDescent="0.2">
      <c r="A10" s="12">
        <v>5</v>
      </c>
      <c r="B10" s="8" t="s">
        <v>55</v>
      </c>
      <c r="C10" s="14"/>
      <c r="D10" s="15"/>
      <c r="E10" s="16"/>
      <c r="F10" s="17"/>
    </row>
    <row r="12" spans="1:6" ht="31.5" customHeight="1" x14ac:dyDescent="0.2">
      <c r="A12" s="1" t="s">
        <v>56</v>
      </c>
      <c r="B12" s="1"/>
      <c r="C12" s="1"/>
      <c r="D12" s="1"/>
      <c r="E12" s="1"/>
      <c r="F12" s="1"/>
    </row>
  </sheetData>
  <mergeCells count="3">
    <mergeCell ref="A1:F1"/>
    <mergeCell ref="A2:F2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5" x14ac:dyDescent="0.2"/>
  <cols>
    <col min="1" max="1" width="5" customWidth="1"/>
    <col min="2" max="2" width="34" customWidth="1"/>
    <col min="3" max="5" width="8" customWidth="1"/>
    <col min="6" max="6" width="52" customWidth="1"/>
    <col min="7" max="7" width="46" customWidth="1"/>
  </cols>
  <sheetData>
    <row r="1" spans="1:7" ht="30" customHeight="1" x14ac:dyDescent="0.2">
      <c r="A1" s="4" t="s">
        <v>57</v>
      </c>
      <c r="B1" s="4"/>
      <c r="C1" s="4"/>
      <c r="D1" s="4"/>
      <c r="E1" s="4"/>
      <c r="F1" s="4"/>
      <c r="G1" s="4"/>
    </row>
    <row r="2" spans="1:7" ht="27.75" customHeight="1" x14ac:dyDescent="0.2">
      <c r="A2" s="3" t="s">
        <v>58</v>
      </c>
      <c r="B2" s="3"/>
      <c r="C2" s="3"/>
      <c r="D2" s="3"/>
      <c r="E2" s="3"/>
      <c r="F2" s="3"/>
      <c r="G2" s="3"/>
    </row>
    <row r="5" spans="1:7" ht="25.5" customHeight="1" x14ac:dyDescent="0.2">
      <c r="A5" s="11" t="s">
        <v>45</v>
      </c>
      <c r="B5" s="11" t="s">
        <v>46</v>
      </c>
      <c r="C5" s="11" t="s">
        <v>59</v>
      </c>
      <c r="D5" s="11" t="s">
        <v>60</v>
      </c>
      <c r="E5" s="11" t="s">
        <v>48</v>
      </c>
      <c r="F5" s="11" t="s">
        <v>49</v>
      </c>
      <c r="G5" s="11" t="s">
        <v>61</v>
      </c>
    </row>
    <row r="6" spans="1:7" ht="54" customHeight="1" x14ac:dyDescent="0.2">
      <c r="A6" s="12">
        <v>1</v>
      </c>
      <c r="B6" s="8" t="s">
        <v>51</v>
      </c>
      <c r="C6" s="12">
        <f>Baseline!D6</f>
        <v>0</v>
      </c>
      <c r="D6" s="15"/>
      <c r="E6" s="15"/>
      <c r="F6" s="16"/>
      <c r="G6" s="17"/>
    </row>
    <row r="7" spans="1:7" ht="54" customHeight="1" x14ac:dyDescent="0.2">
      <c r="A7" s="12">
        <v>2</v>
      </c>
      <c r="B7" s="8" t="s">
        <v>52</v>
      </c>
      <c r="C7" s="12">
        <f>Baseline!D7</f>
        <v>0</v>
      </c>
      <c r="D7" s="15"/>
      <c r="E7" s="15"/>
      <c r="F7" s="16"/>
      <c r="G7" s="17"/>
    </row>
    <row r="8" spans="1:7" ht="54" customHeight="1" x14ac:dyDescent="0.2">
      <c r="A8" s="12">
        <v>3</v>
      </c>
      <c r="B8" s="8" t="s">
        <v>53</v>
      </c>
      <c r="C8" s="12">
        <f>Baseline!D8</f>
        <v>0</v>
      </c>
      <c r="D8" s="15"/>
      <c r="E8" s="15"/>
      <c r="F8" s="16"/>
      <c r="G8" s="17"/>
    </row>
    <row r="9" spans="1:7" ht="54" customHeight="1" x14ac:dyDescent="0.2">
      <c r="A9" s="12">
        <v>4</v>
      </c>
      <c r="B9" s="8" t="s">
        <v>54</v>
      </c>
      <c r="C9" s="12">
        <f>Baseline!D9</f>
        <v>0</v>
      </c>
      <c r="D9" s="15"/>
      <c r="E9" s="15"/>
      <c r="F9" s="16"/>
      <c r="G9" s="17"/>
    </row>
    <row r="10" spans="1:7" ht="54" customHeight="1" x14ac:dyDescent="0.2">
      <c r="A10" s="12">
        <v>5</v>
      </c>
      <c r="B10" s="8" t="s">
        <v>55</v>
      </c>
      <c r="C10" s="12">
        <f>Baseline!D10</f>
        <v>0</v>
      </c>
      <c r="D10" s="15"/>
      <c r="E10" s="15"/>
      <c r="F10" s="16"/>
      <c r="G10" s="17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5" x14ac:dyDescent="0.2"/>
  <cols>
    <col min="1" max="1" width="5" customWidth="1"/>
    <col min="2" max="2" width="30" customWidth="1"/>
    <col min="3" max="3" width="60" customWidth="1"/>
    <col min="4" max="5" width="52" customWidth="1"/>
  </cols>
  <sheetData>
    <row r="1" spans="1:5" ht="30" customHeight="1" x14ac:dyDescent="0.2">
      <c r="A1" s="4" t="s">
        <v>62</v>
      </c>
      <c r="B1" s="4"/>
      <c r="C1" s="4"/>
      <c r="D1" s="4"/>
      <c r="E1" s="4"/>
    </row>
    <row r="2" spans="1:5" ht="27.75" customHeight="1" x14ac:dyDescent="0.2">
      <c r="A2" s="3" t="s">
        <v>63</v>
      </c>
      <c r="B2" s="3"/>
      <c r="C2" s="3"/>
      <c r="D2" s="3"/>
      <c r="E2" s="3"/>
    </row>
    <row r="5" spans="1:5" ht="25.5" customHeight="1" x14ac:dyDescent="0.2">
      <c r="A5" s="11" t="s">
        <v>45</v>
      </c>
      <c r="B5" s="11" t="s">
        <v>64</v>
      </c>
      <c r="C5" s="11" t="s">
        <v>65</v>
      </c>
      <c r="D5" s="11" t="s">
        <v>66</v>
      </c>
      <c r="E5" s="11" t="s">
        <v>67</v>
      </c>
    </row>
    <row r="6" spans="1:5" ht="75.75" customHeight="1" x14ac:dyDescent="0.2">
      <c r="A6" s="12">
        <v>1</v>
      </c>
      <c r="B6" s="7" t="s">
        <v>68</v>
      </c>
      <c r="C6" s="9" t="s">
        <v>69</v>
      </c>
      <c r="D6" s="9" t="s">
        <v>70</v>
      </c>
      <c r="E6" s="9" t="s">
        <v>71</v>
      </c>
    </row>
    <row r="7" spans="1:5" ht="75.75" customHeight="1" x14ac:dyDescent="0.2">
      <c r="A7" s="18">
        <v>2</v>
      </c>
      <c r="B7" s="19" t="s">
        <v>72</v>
      </c>
      <c r="C7" s="20" t="s">
        <v>73</v>
      </c>
      <c r="D7" s="20" t="s">
        <v>74</v>
      </c>
      <c r="E7" s="20" t="s">
        <v>75</v>
      </c>
    </row>
    <row r="8" spans="1:5" ht="75.75" customHeight="1" x14ac:dyDescent="0.2">
      <c r="A8" s="12">
        <v>3</v>
      </c>
      <c r="B8" s="7" t="s">
        <v>76</v>
      </c>
      <c r="C8" s="9" t="s">
        <v>77</v>
      </c>
      <c r="D8" s="9" t="s">
        <v>78</v>
      </c>
      <c r="E8" s="9" t="s">
        <v>79</v>
      </c>
    </row>
    <row r="9" spans="1:5" ht="75.75" customHeight="1" x14ac:dyDescent="0.2">
      <c r="A9" s="12">
        <v>4</v>
      </c>
      <c r="B9" s="7" t="s">
        <v>80</v>
      </c>
      <c r="C9" s="9" t="s">
        <v>81</v>
      </c>
      <c r="D9" s="9" t="s">
        <v>82</v>
      </c>
      <c r="E9" s="9" t="s">
        <v>83</v>
      </c>
    </row>
    <row r="10" spans="1:5" ht="78" customHeight="1" x14ac:dyDescent="0.2">
      <c r="A10" s="12">
        <v>5</v>
      </c>
      <c r="B10" s="7" t="s">
        <v>84</v>
      </c>
      <c r="C10" s="9" t="s">
        <v>85</v>
      </c>
      <c r="D10" s="9" t="s">
        <v>86</v>
      </c>
      <c r="E10" s="9" t="s">
        <v>87</v>
      </c>
    </row>
    <row r="11" spans="1:5" ht="75.75" customHeight="1" x14ac:dyDescent="0.2">
      <c r="A11" s="18">
        <v>6</v>
      </c>
      <c r="B11" s="19" t="s">
        <v>88</v>
      </c>
      <c r="C11" s="20" t="s">
        <v>89</v>
      </c>
      <c r="D11" s="20" t="s">
        <v>90</v>
      </c>
      <c r="E11" s="20" t="s">
        <v>91</v>
      </c>
    </row>
    <row r="12" spans="1:5" ht="75.75" customHeight="1" x14ac:dyDescent="0.2">
      <c r="A12" s="12">
        <v>7</v>
      </c>
      <c r="B12" s="7" t="s">
        <v>92</v>
      </c>
      <c r="C12" s="9" t="s">
        <v>93</v>
      </c>
      <c r="D12" s="9" t="s">
        <v>94</v>
      </c>
      <c r="E12" s="9" t="s">
        <v>95</v>
      </c>
    </row>
    <row r="13" spans="1:5" ht="75.75" customHeight="1" x14ac:dyDescent="0.2">
      <c r="A13" s="12">
        <v>8</v>
      </c>
      <c r="B13" s="7" t="s">
        <v>96</v>
      </c>
      <c r="C13" s="9" t="s">
        <v>97</v>
      </c>
      <c r="D13" s="9" t="s">
        <v>98</v>
      </c>
      <c r="E13" s="9" t="s">
        <v>99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zoomScaleNormal="100" workbookViewId="0">
      <pane ySplit="5" topLeftCell="A6" activePane="bottomLeft" state="frozen"/>
      <selection pane="bottomLeft"/>
    </sheetView>
  </sheetViews>
  <sheetFormatPr baseColWidth="10" defaultColWidth="8.6640625" defaultRowHeight="15" x14ac:dyDescent="0.2"/>
  <cols>
    <col min="1" max="1" width="8" customWidth="1"/>
    <col min="2" max="2" width="34" customWidth="1"/>
    <col min="3" max="3" width="96" customWidth="1"/>
  </cols>
  <sheetData>
    <row r="1" spans="1:3" ht="30" customHeight="1" x14ac:dyDescent="0.2">
      <c r="A1" s="4" t="s">
        <v>100</v>
      </c>
      <c r="B1" s="4"/>
      <c r="C1" s="4"/>
    </row>
    <row r="2" spans="1:3" ht="27.75" customHeight="1" x14ac:dyDescent="0.2">
      <c r="A2" s="3" t="s">
        <v>101</v>
      </c>
      <c r="B2" s="3"/>
      <c r="C2" s="3"/>
    </row>
    <row r="5" spans="1:3" ht="25.5" customHeight="1" x14ac:dyDescent="0.2">
      <c r="A5" s="11" t="s">
        <v>102</v>
      </c>
      <c r="B5" s="11" t="s">
        <v>103</v>
      </c>
      <c r="C5" s="11" t="s">
        <v>66</v>
      </c>
    </row>
    <row r="6" spans="1:3" ht="64.5" customHeight="1" x14ac:dyDescent="0.2">
      <c r="A6" s="12">
        <v>1</v>
      </c>
      <c r="B6" s="7" t="s">
        <v>104</v>
      </c>
      <c r="C6" s="9" t="s">
        <v>105</v>
      </c>
    </row>
    <row r="7" spans="1:3" ht="45.75" customHeight="1" x14ac:dyDescent="0.2">
      <c r="A7" s="12">
        <v>2</v>
      </c>
      <c r="B7" s="7" t="s">
        <v>106</v>
      </c>
      <c r="C7" s="9" t="s">
        <v>107</v>
      </c>
    </row>
    <row r="8" spans="1:3" ht="45.75" customHeight="1" x14ac:dyDescent="0.2">
      <c r="A8" s="12">
        <v>3</v>
      </c>
      <c r="B8" s="7" t="s">
        <v>108</v>
      </c>
      <c r="C8" s="9" t="s">
        <v>109</v>
      </c>
    </row>
    <row r="9" spans="1:3" ht="51.75" customHeight="1" x14ac:dyDescent="0.2">
      <c r="A9" s="12">
        <v>4</v>
      </c>
      <c r="B9" s="7" t="s">
        <v>110</v>
      </c>
      <c r="C9" s="9" t="s">
        <v>111</v>
      </c>
    </row>
    <row r="10" spans="1:3" ht="45.75" customHeight="1" x14ac:dyDescent="0.2">
      <c r="A10" s="12">
        <v>5</v>
      </c>
      <c r="B10" s="7" t="s">
        <v>112</v>
      </c>
      <c r="C10" s="9" t="s">
        <v>113</v>
      </c>
    </row>
    <row r="12" spans="1:3" ht="75.75" customHeight="1" x14ac:dyDescent="0.2">
      <c r="A12" s="1" t="s">
        <v>114</v>
      </c>
      <c r="B12" s="1"/>
      <c r="C12" s="1"/>
    </row>
  </sheetData>
  <mergeCells count="3">
    <mergeCell ref="A1:C1"/>
    <mergeCell ref="A2:C2"/>
    <mergeCell ref="A12:C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Baseline</vt:lpstr>
      <vt:lpstr>After curation</vt:lpstr>
      <vt:lpstr>Findings</vt:lpstr>
      <vt:lpstr>Quality levers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Qasim bin Mehmood</cp:lastModifiedBy>
  <cp:revision>0</cp:revision>
  <dcterms:created xsi:type="dcterms:W3CDTF">2026-09-17T05:35:43Z</dcterms:created>
  <dcterms:modified xsi:type="dcterms:W3CDTF">2026-09-17T05:39:26Z</dcterms:modified>
  <dc:language>en-US</dc:language>
</cp:coreProperties>
</file>